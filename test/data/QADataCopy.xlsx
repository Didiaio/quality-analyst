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 showInkAnnotation="0" autoCompressPictures="0" defaultThemeVersion="166925"/>
  <xr:revisionPtr revIDLastSave="134" documentId="11_B9C1908A97C868544A750B231C832444D10E5BAB" xr6:coauthVersionLast="47" xr6:coauthVersionMax="47" xr10:uidLastSave="{66E55580-BBF0-440A-BBA6-0BDE600684F7}"/>
  <bookViews>
    <workbookView xWindow="0" yWindow="0" windowWidth="0" windowHeight="0" firstSheet="1" xr2:uid="{00000000-000D-0000-FFFF-FFFF00000000}"/>
  </bookViews>
  <sheets>
    <sheet name="Result" sheetId="4" r:id="rId1"/>
    <sheet name="QA_Error" sheetId="3" r:id="rId2"/>
    <sheet name="QA_Report" sheetId="1" r:id="rId3"/>
  </sheets>
  <definedNames>
    <definedName name="_xlnm._FilterDatabase" localSheetId="2" hidden="1">QA_Report!$A$1:$F$1</definedName>
  </definedNames>
  <calcPr calcId="191028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4" l="1"/>
  <c r="D6" i="4"/>
  <c r="D7" i="4"/>
  <c r="D4" i="4"/>
  <c r="C5" i="4"/>
  <c r="C6" i="4"/>
  <c r="C7" i="4"/>
  <c r="C4" i="4"/>
</calcChain>
</file>

<file path=xl/sharedStrings.xml><?xml version="1.0" encoding="utf-8"?>
<sst xmlns="http://schemas.openxmlformats.org/spreadsheetml/2006/main" count="213" uniqueCount="55">
  <si>
    <t>Assessment Outcome</t>
  </si>
  <si>
    <t>Count of Call/Digital ID</t>
  </si>
  <si>
    <t>Error Result</t>
  </si>
  <si>
    <t>Percentage</t>
  </si>
  <si>
    <t>1 - Significant Customer Harm</t>
  </si>
  <si>
    <t>2 - Significant Customer Experience Issue</t>
  </si>
  <si>
    <t>3 - Significant Process Issue</t>
  </si>
  <si>
    <t>4 - Internal Issue</t>
  </si>
  <si>
    <t>Grand Total</t>
  </si>
  <si>
    <t>Consultant Name</t>
  </si>
  <si>
    <t>Monitor Type Channel</t>
  </si>
  <si>
    <t>TelephonyDigital All '[Team Leader]'</t>
  </si>
  <si>
    <t>Monitor Type</t>
  </si>
  <si>
    <t>Call/Digital ID</t>
  </si>
  <si>
    <t>WKMW Wendy K. Mendez</t>
  </si>
  <si>
    <t>Telephony</t>
  </si>
  <si>
    <t>Devon</t>
  </si>
  <si>
    <t>Renewal</t>
  </si>
  <si>
    <t>GT612B345A</t>
  </si>
  <si>
    <t>JDFG John D. Lee</t>
  </si>
  <si>
    <t>Laura</t>
  </si>
  <si>
    <t>Amendment</t>
  </si>
  <si>
    <t>ABG12B345B</t>
  </si>
  <si>
    <t>LMKJ Lisa J. Johnson</t>
  </si>
  <si>
    <t>Maria</t>
  </si>
  <si>
    <t>ABG12B345E</t>
  </si>
  <si>
    <t>MNOP Michael K. Perez</t>
  </si>
  <si>
    <t>LMK12B345F</t>
  </si>
  <si>
    <t>JCGB Sarah R. Clark</t>
  </si>
  <si>
    <t>GT612B345G</t>
  </si>
  <si>
    <t>JKHG Emily M. Roberts</t>
  </si>
  <si>
    <t>ABG12B345I</t>
  </si>
  <si>
    <t>LMKJ Laura M. O'Connor</t>
  </si>
  <si>
    <t>ABG12B345J</t>
  </si>
  <si>
    <t>KKJH Karen B. Garcia</t>
  </si>
  <si>
    <t>ABG12B345L</t>
  </si>
  <si>
    <t>OPUY Olivia H. Nguyen</t>
  </si>
  <si>
    <t>ABG12B345M</t>
  </si>
  <si>
    <t>LMNH Ursula V. Scott</t>
  </si>
  <si>
    <t>ABG12B345O</t>
  </si>
  <si>
    <t>ABG12B345P</t>
  </si>
  <si>
    <t>ABG12B345Q</t>
  </si>
  <si>
    <t>ABG12B345S</t>
  </si>
  <si>
    <t>ABWG Alice M. Thompson</t>
  </si>
  <si>
    <t>LMK12B345C</t>
  </si>
  <si>
    <t>Acceptable</t>
  </si>
  <si>
    <t>NPGF Robert S. Miller</t>
  </si>
  <si>
    <t>GT612B345D</t>
  </si>
  <si>
    <t>HDFG David W. Taylor</t>
  </si>
  <si>
    <t>ABG12B345H</t>
  </si>
  <si>
    <t>DTBL Liam J. Smith</t>
  </si>
  <si>
    <t>ABG12B345K</t>
  </si>
  <si>
    <t>KJYT James H. Wilson</t>
  </si>
  <si>
    <t>ABG12B345N</t>
  </si>
  <si>
    <t>ABG12B345R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</si>
</sst>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Protection="1"/>
    <xf numFmtId="0" fontId="1" fillId="2" borderId="0" xfId="0" applyNumberFormat="1" applyFont="1" applyFill="1" applyProtection="1"/>
    <xf numFmtId="0" fontId="0" fillId="0" borderId="1" xfId="0" pivotButton="1" applyNumberFormat="1" applyFont="1" applyBorder="1" applyProtection="1"/>
    <xf numFmtId="0" fontId="0" fillId="0" borderId="1" xfId="0" applyNumberFormat="1" applyFont="1" applyBorder="1" applyProtection="1"/>
    <xf numFmtId="0" fontId="1" fillId="2" borderId="1" xfId="0" applyNumberFormat="1" applyFont="1" applyFill="1" applyBorder="1" applyProtection="1"/>
    <xf numFmtId="2" fontId="0" fillId="0" borderId="1" xfId="0" applyNumberFormat="1" applyFont="1" applyBorder="1" applyProtection="1"/>
    <xf numFmtId="0" fontId="0" fillId="2" borderId="1" xfId="0" applyNumberFormat="1" applyFont="1" applyFill="1" applyBorder="1" applyProtection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6.661655208336" createdVersion="8" refreshedVersion="8" minRefreshableVersion="3" recordCount="13" xr:uid="{18F81540-C1A6-4E02-BD55-EF44CABF7FE4}">
  <cacheSource type="worksheet">
    <worksheetSource ref="A1:F14" sheet="QA_Error"/>
  </cacheSource>
  <cacheFields count="6">
    <cacheField name="Consultant Name" numFmtId="0">
      <sharedItems/>
    </cacheField>
    <cacheField name="Monitor Type Channel" numFmtId="0">
      <sharedItems/>
    </cacheField>
    <cacheField name="TelephonyDigital All '[Team Leader]'" numFmtId="0">
      <sharedItems/>
    </cacheField>
    <cacheField name="Monitor Type" numFmtId="0">
      <sharedItems/>
    </cacheField>
    <cacheField name="Call/Digital ID" numFmtId="0">
      <sharedItems/>
    </cacheField>
    <cacheField name="Assessment Outcome" numFmtId="0">
      <sharedItems count="4">
        <s v="4 - Internal Issue"/>
        <s v="1 - Significant Customer Harm"/>
        <s v="2 - Significant Customer Experience Issue"/>
        <s v="3 - Significant Process Iss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WKMW Wendy K. Mendez"/>
    <s v="Telephony"/>
    <s v="Devon"/>
    <s v="Renewal"/>
    <s v="GT612B345A"/>
    <x v="0"/>
  </r>
  <r>
    <s v="JDFG John D. Lee"/>
    <s v="Telephony"/>
    <s v="Laura"/>
    <s v="Amendment"/>
    <s v="ABG12B345B"/>
    <x v="1"/>
  </r>
  <r>
    <s v="LMKJ Lisa J. Johnson"/>
    <s v="Telephony"/>
    <s v="Maria"/>
    <s v="Amendment"/>
    <s v="ABG12B345E"/>
    <x v="2"/>
  </r>
  <r>
    <s v="MNOP Michael K. Perez"/>
    <s v="Telephony"/>
    <s v="Devon"/>
    <s v="Renewal"/>
    <s v="LMK12B345F"/>
    <x v="3"/>
  </r>
  <r>
    <s v="JCGB Sarah R. Clark"/>
    <s v="Telephony"/>
    <s v="Laura"/>
    <s v="Amendment"/>
    <s v="GT612B345G"/>
    <x v="1"/>
  </r>
  <r>
    <s v="JKHG Emily M. Roberts"/>
    <s v="Telephony"/>
    <s v="Devon"/>
    <s v="Amendment"/>
    <s v="ABG12B345I"/>
    <x v="2"/>
  </r>
  <r>
    <s v="LMKJ Laura M. O'Connor"/>
    <s v="Telephony"/>
    <s v="Laura"/>
    <s v="Renewal"/>
    <s v="ABG12B345J"/>
    <x v="3"/>
  </r>
  <r>
    <s v="KKJH Karen B. Garcia"/>
    <s v="Telephony"/>
    <s v="Maria"/>
    <s v="Amendment"/>
    <s v="ABG12B345L"/>
    <x v="0"/>
  </r>
  <r>
    <s v="OPUY Olivia H. Nguyen"/>
    <s v="Telephony"/>
    <s v="Devon"/>
    <s v="Renewal"/>
    <s v="ABG12B345M"/>
    <x v="1"/>
  </r>
  <r>
    <s v="LMNH Ursula V. Scott"/>
    <s v="Telephony"/>
    <s v="Devon"/>
    <s v="Renewal"/>
    <s v="ABG12B345O"/>
    <x v="0"/>
  </r>
  <r>
    <s v="KKJH Karen B. Garcia"/>
    <s v="Telephony"/>
    <s v="Maria"/>
    <s v="Amendment"/>
    <s v="ABG12B345P"/>
    <x v="3"/>
  </r>
  <r>
    <s v="OPUY Olivia H. Nguyen"/>
    <s v="Telephony"/>
    <s v="Devon"/>
    <s v="Renewal"/>
    <s v="ABG12B345Q"/>
    <x v="2"/>
  </r>
  <r>
    <s v="LMNH Ursula V. Scott"/>
    <s v="Telephony"/>
    <s v="Devon"/>
    <s v="Renewal"/>
    <s v="ABG12B345S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6342D-1D70-4842-BB03-276DAC35DEB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6"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ll/Digital ID" fld="4" subtotal="count" baseField="0" baseItem="0"/>
  </dataFields>
  <formats count="6">
    <format dxfId="2">
      <pivotArea type="all" dataOnly="0" outline="0" fieldPosition="0"/>
    </format>
    <format dxfId="3">
      <pivotArea outline="0" collapsedLevelsAreSubtotals="1" fieldPosition="0"/>
    </format>
    <format dxfId="4">
      <pivotArea field="5" type="button" dataOnly="0" labelOnly="1" outline="0" axis="axisRow" fieldPosition="0"/>
    </format>
    <format dxfId="5">
      <pivotArea dataOnly="0" labelOnly="1" outline="0" fieldPosition="0">
        <references count="1">
          <reference field="5" count="0"/>
        </references>
      </pivotArea>
    </format>
    <format dxfId="6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B29D-268A-4D0F-8471-88A1F5C9581E}">
  <dimension ref="A3:D8"/>
  <sheetViews>
    <sheetView tabSelected="1" workbookViewId="0">
      <selection activeCell="C4" sqref="C4:C7"/>
    </sheetView>
  </sheetViews>
  <sheetFormatPr defaultRowHeight="15"/>
  <cols>
    <col min="1" max="1" width="36.5703125" bestFit="1" customWidth="1"/>
    <col min="2" max="2" width="21.28515625" bestFit="1" customWidth="1"/>
    <col min="3" max="3" width="12.28515625" bestFit="1" customWidth="1"/>
    <col min="4" max="4" width="10.85546875" bestFit="1" customWidth="1"/>
  </cols>
  <sheetData>
    <row r="3" spans="1:4">
      <c r="A3" s="2" t="s">
        <v>0</v>
      </c>
      <c r="B3" s="3" t="s">
        <v>1</v>
      </c>
      <c r="C3" s="4" t="s">
        <v>2</v>
      </c>
      <c r="D3" s="4" t="s">
        <v>3</v>
      </c>
    </row>
    <row r="4" spans="1:4">
      <c r="A4" s="3" t="s">
        <v>4</v>
      </c>
      <c r="B4" s="3">
        <v>3</v>
      </c>
      <c r="C4" s="5">
        <f>B4/19*100</f>
        <v>15.789473684210526</v>
      </c>
      <c r="D4" s="5">
        <f>100-C4</f>
        <v>84.21052631578948</v>
      </c>
    </row>
    <row r="5" spans="1:4">
      <c r="A5" s="3" t="s">
        <v>5</v>
      </c>
      <c r="B5" s="3">
        <v>4</v>
      </c>
      <c r="C5" s="5">
        <f t="shared" ref="C5:C7" si="0">B5/19*100</f>
        <v>21.052631578947366</v>
      </c>
      <c r="D5" s="5">
        <f t="shared" ref="D5:D7" si="1">100-C5</f>
        <v>78.94736842105263</v>
      </c>
    </row>
    <row r="6" spans="1:4">
      <c r="A6" s="3" t="s">
        <v>6</v>
      </c>
      <c r="B6" s="3">
        <v>3</v>
      </c>
      <c r="C6" s="5">
        <f t="shared" si="0"/>
        <v>15.789473684210526</v>
      </c>
      <c r="D6" s="5">
        <f t="shared" si="1"/>
        <v>84.21052631578948</v>
      </c>
    </row>
    <row r="7" spans="1:4">
      <c r="A7" s="3" t="s">
        <v>7</v>
      </c>
      <c r="B7" s="3">
        <v>3</v>
      </c>
      <c r="C7" s="5">
        <f t="shared" si="0"/>
        <v>15.789473684210526</v>
      </c>
      <c r="D7" s="5">
        <f t="shared" si="1"/>
        <v>84.21052631578948</v>
      </c>
    </row>
    <row r="8" spans="1:4">
      <c r="A8" s="3" t="s">
        <v>8</v>
      </c>
      <c r="B8" s="3">
        <v>13</v>
      </c>
      <c r="C8" s="6"/>
      <c r="D8" s="6"/>
    </row>
  </sheetData>
  <conditionalFormatting sqref="D4:D7">
    <cfRule type="cellIs" dxfId="1" priority="2" operator="lessThan">
      <formula>80</formula>
    </cfRule>
  </conditionalFormatting>
  <conditionalFormatting sqref="D4:D7">
    <cfRule type="cellIs" dxfId="0" priority="1" operator="greaterThan">
      <formula>80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DE7B5-7D46-4DCA-8FA7-60E2D9F44AF2}">
  <dimension ref="A1:F14"/>
  <sheetViews>
    <sheetView workbookViewId="0">
      <selection sqref="A1:F14"/>
    </sheetView>
  </sheetViews>
  <sheetFormatPr defaultRowHeight="15"/>
  <cols>
    <col min="1" max="1" width="24" bestFit="1" customWidth="1"/>
    <col min="2" max="2" width="20.7109375" bestFit="1" customWidth="1"/>
    <col min="3" max="3" width="33.140625" bestFit="1" customWidth="1"/>
    <col min="4" max="4" width="13" bestFit="1" customWidth="1"/>
    <col min="5" max="5" width="13.140625" bestFit="1" customWidth="1"/>
    <col min="6" max="6" width="36.5703125" bestFit="1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</row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7</v>
      </c>
    </row>
    <row r="3" spans="1:6">
      <c r="A3" t="s">
        <v>19</v>
      </c>
      <c r="B3" t="s">
        <v>15</v>
      </c>
      <c r="C3" t="s">
        <v>20</v>
      </c>
      <c r="D3" t="s">
        <v>21</v>
      </c>
      <c r="E3" t="s">
        <v>22</v>
      </c>
      <c r="F3" t="s">
        <v>4</v>
      </c>
    </row>
    <row r="4" spans="1:6">
      <c r="A4" t="s">
        <v>23</v>
      </c>
      <c r="B4" t="s">
        <v>15</v>
      </c>
      <c r="C4" t="s">
        <v>24</v>
      </c>
      <c r="D4" t="s">
        <v>21</v>
      </c>
      <c r="E4" t="s">
        <v>25</v>
      </c>
      <c r="F4" t="s">
        <v>5</v>
      </c>
    </row>
    <row r="5" spans="1:6">
      <c r="A5" t="s">
        <v>26</v>
      </c>
      <c r="B5" t="s">
        <v>15</v>
      </c>
      <c r="C5" t="s">
        <v>16</v>
      </c>
      <c r="D5" t="s">
        <v>17</v>
      </c>
      <c r="E5" t="s">
        <v>27</v>
      </c>
      <c r="F5" t="s">
        <v>6</v>
      </c>
    </row>
    <row r="6" spans="1:6">
      <c r="A6" t="s">
        <v>28</v>
      </c>
      <c r="B6" t="s">
        <v>15</v>
      </c>
      <c r="C6" t="s">
        <v>20</v>
      </c>
      <c r="D6" t="s">
        <v>21</v>
      </c>
      <c r="E6" t="s">
        <v>29</v>
      </c>
      <c r="F6" t="s">
        <v>4</v>
      </c>
    </row>
    <row r="7" spans="1:6">
      <c r="A7" t="s">
        <v>30</v>
      </c>
      <c r="B7" t="s">
        <v>15</v>
      </c>
      <c r="C7" t="s">
        <v>16</v>
      </c>
      <c r="D7" t="s">
        <v>21</v>
      </c>
      <c r="E7" t="s">
        <v>31</v>
      </c>
      <c r="F7" t="s">
        <v>5</v>
      </c>
    </row>
    <row r="8" spans="1:6">
      <c r="A8" t="s">
        <v>32</v>
      </c>
      <c r="B8" t="s">
        <v>15</v>
      </c>
      <c r="C8" t="s">
        <v>20</v>
      </c>
      <c r="D8" t="s">
        <v>17</v>
      </c>
      <c r="E8" t="s">
        <v>33</v>
      </c>
      <c r="F8" t="s">
        <v>6</v>
      </c>
    </row>
    <row r="9" spans="1:6">
      <c r="A9" t="s">
        <v>34</v>
      </c>
      <c r="B9" t="s">
        <v>15</v>
      </c>
      <c r="C9" t="s">
        <v>24</v>
      </c>
      <c r="D9" t="s">
        <v>21</v>
      </c>
      <c r="E9" t="s">
        <v>35</v>
      </c>
      <c r="F9" t="s">
        <v>7</v>
      </c>
    </row>
    <row r="10" spans="1:6">
      <c r="A10" t="s">
        <v>36</v>
      </c>
      <c r="B10" t="s">
        <v>15</v>
      </c>
      <c r="C10" t="s">
        <v>16</v>
      </c>
      <c r="D10" t="s">
        <v>17</v>
      </c>
      <c r="E10" t="s">
        <v>37</v>
      </c>
      <c r="F10" t="s">
        <v>4</v>
      </c>
    </row>
    <row r="11" spans="1:6">
      <c r="A11" t="s">
        <v>38</v>
      </c>
      <c r="B11" t="s">
        <v>15</v>
      </c>
      <c r="C11" t="s">
        <v>16</v>
      </c>
      <c r="D11" t="s">
        <v>17</v>
      </c>
      <c r="E11" t="s">
        <v>39</v>
      </c>
      <c r="F11" t="s">
        <v>7</v>
      </c>
    </row>
    <row r="12" spans="1:6">
      <c r="A12" t="s">
        <v>34</v>
      </c>
      <c r="B12" t="s">
        <v>15</v>
      </c>
      <c r="C12" t="s">
        <v>24</v>
      </c>
      <c r="D12" t="s">
        <v>21</v>
      </c>
      <c r="E12" t="s">
        <v>40</v>
      </c>
      <c r="F12" t="s">
        <v>6</v>
      </c>
    </row>
    <row r="13" spans="1:6">
      <c r="A13" t="s">
        <v>36</v>
      </c>
      <c r="B13" t="s">
        <v>15</v>
      </c>
      <c r="C13" t="s">
        <v>16</v>
      </c>
      <c r="D13" t="s">
        <v>17</v>
      </c>
      <c r="E13" t="s">
        <v>41</v>
      </c>
      <c r="F13" t="s">
        <v>5</v>
      </c>
    </row>
    <row r="14" spans="1:6">
      <c r="A14" t="s">
        <v>38</v>
      </c>
      <c r="B14" t="s">
        <v>15</v>
      </c>
      <c r="C14" t="s">
        <v>16</v>
      </c>
      <c r="D14" t="s">
        <v>17</v>
      </c>
      <c r="E14" t="s">
        <v>42</v>
      </c>
      <c r="F1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0"/>
  <sheetViews>
    <sheetView workbookViewId="0">
      <selection activeCell="A22" sqref="A22"/>
    </sheetView>
  </sheetViews>
  <sheetFormatPr defaultRowHeight="15"/>
  <cols>
    <col min="1" max="1" width="24.7109375" customWidth="1"/>
    <col min="2" max="2" width="21.42578125" customWidth="1"/>
    <col min="3" max="3" width="33.85546875" customWidth="1"/>
    <col min="4" max="4" width="13.7109375" customWidth="1"/>
    <col min="5" max="5" width="13.85546875" customWidth="1"/>
    <col min="6" max="6" width="37.28515625" customWidth="1"/>
  </cols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0</v>
      </c>
    </row>
    <row r="2" spans="1:6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7</v>
      </c>
    </row>
    <row r="3" spans="1:6">
      <c r="A3" t="s">
        <v>19</v>
      </c>
      <c r="B3" t="s">
        <v>15</v>
      </c>
      <c r="C3" t="s">
        <v>20</v>
      </c>
      <c r="D3" t="s">
        <v>21</v>
      </c>
      <c r="E3" t="s">
        <v>22</v>
      </c>
      <c r="F3" t="s">
        <v>4</v>
      </c>
    </row>
    <row r="4" spans="1:6" hidden="1">
      <c r="A4" t="s">
        <v>43</v>
      </c>
      <c r="B4" t="s">
        <v>15</v>
      </c>
      <c r="C4" t="s">
        <v>24</v>
      </c>
      <c r="D4" t="s">
        <v>17</v>
      </c>
      <c r="E4" t="s">
        <v>44</v>
      </c>
      <c r="F4" t="s">
        <v>45</v>
      </c>
    </row>
    <row r="5" spans="1:6" hidden="1">
      <c r="A5" t="s">
        <v>46</v>
      </c>
      <c r="B5" t="s">
        <v>15</v>
      </c>
      <c r="C5" t="s">
        <v>16</v>
      </c>
      <c r="D5" t="s">
        <v>17</v>
      </c>
      <c r="E5" t="s">
        <v>47</v>
      </c>
      <c r="F5" t="s">
        <v>45</v>
      </c>
    </row>
    <row r="6" spans="1:6">
      <c r="A6" t="s">
        <v>23</v>
      </c>
      <c r="B6" t="s">
        <v>15</v>
      </c>
      <c r="C6" t="s">
        <v>24</v>
      </c>
      <c r="D6" t="s">
        <v>21</v>
      </c>
      <c r="E6" t="s">
        <v>25</v>
      </c>
      <c r="F6" t="s">
        <v>5</v>
      </c>
    </row>
    <row r="7" spans="1:6">
      <c r="A7" t="s">
        <v>26</v>
      </c>
      <c r="B7" t="s">
        <v>15</v>
      </c>
      <c r="C7" t="s">
        <v>16</v>
      </c>
      <c r="D7" t="s">
        <v>17</v>
      </c>
      <c r="E7" t="s">
        <v>27</v>
      </c>
      <c r="F7" t="s">
        <v>6</v>
      </c>
    </row>
    <row r="8" spans="1:6">
      <c r="A8" t="s">
        <v>28</v>
      </c>
      <c r="B8" t="s">
        <v>15</v>
      </c>
      <c r="C8" t="s">
        <v>20</v>
      </c>
      <c r="D8" t="s">
        <v>21</v>
      </c>
      <c r="E8" t="s">
        <v>29</v>
      </c>
      <c r="F8" t="s">
        <v>4</v>
      </c>
    </row>
    <row r="9" spans="1:6" hidden="1">
      <c r="A9" t="s">
        <v>48</v>
      </c>
      <c r="B9" t="s">
        <v>15</v>
      </c>
      <c r="C9" t="s">
        <v>24</v>
      </c>
      <c r="D9" t="s">
        <v>17</v>
      </c>
      <c r="E9" t="s">
        <v>49</v>
      </c>
      <c r="F9" t="s">
        <v>45</v>
      </c>
    </row>
    <row r="10" spans="1:6">
      <c r="A10" t="s">
        <v>30</v>
      </c>
      <c r="B10" t="s">
        <v>15</v>
      </c>
      <c r="C10" t="s">
        <v>16</v>
      </c>
      <c r="D10" t="s">
        <v>21</v>
      </c>
      <c r="E10" t="s">
        <v>31</v>
      </c>
      <c r="F10" t="s">
        <v>5</v>
      </c>
    </row>
    <row r="11" spans="1:6">
      <c r="A11" t="s">
        <v>32</v>
      </c>
      <c r="B11" t="s">
        <v>15</v>
      </c>
      <c r="C11" t="s">
        <v>20</v>
      </c>
      <c r="D11" t="s">
        <v>17</v>
      </c>
      <c r="E11" t="s">
        <v>33</v>
      </c>
      <c r="F11" t="s">
        <v>6</v>
      </c>
    </row>
    <row r="12" spans="1:6" hidden="1">
      <c r="A12" t="s">
        <v>50</v>
      </c>
      <c r="B12" t="s">
        <v>15</v>
      </c>
      <c r="C12" t="s">
        <v>20</v>
      </c>
      <c r="D12" t="s">
        <v>17</v>
      </c>
      <c r="E12" t="s">
        <v>51</v>
      </c>
      <c r="F12" t="s">
        <v>45</v>
      </c>
    </row>
    <row r="13" spans="1:6">
      <c r="A13" t="s">
        <v>34</v>
      </c>
      <c r="B13" t="s">
        <v>15</v>
      </c>
      <c r="C13" t="s">
        <v>24</v>
      </c>
      <c r="D13" t="s">
        <v>21</v>
      </c>
      <c r="E13" t="s">
        <v>35</v>
      </c>
      <c r="F13" t="s">
        <v>7</v>
      </c>
    </row>
    <row r="14" spans="1:6">
      <c r="A14" t="s">
        <v>36</v>
      </c>
      <c r="B14" t="s">
        <v>15</v>
      </c>
      <c r="C14" t="s">
        <v>16</v>
      </c>
      <c r="D14" t="s">
        <v>17</v>
      </c>
      <c r="E14" t="s">
        <v>37</v>
      </c>
      <c r="F14" t="s">
        <v>4</v>
      </c>
    </row>
    <row r="15" spans="1:6" hidden="1">
      <c r="A15" t="s">
        <v>52</v>
      </c>
      <c r="B15" t="s">
        <v>15</v>
      </c>
      <c r="C15" t="s">
        <v>16</v>
      </c>
      <c r="D15" t="s">
        <v>17</v>
      </c>
      <c r="E15" t="s">
        <v>53</v>
      </c>
      <c r="F15" t="s">
        <v>45</v>
      </c>
    </row>
    <row r="16" spans="1:6">
      <c r="A16" t="s">
        <v>38</v>
      </c>
      <c r="B16" t="s">
        <v>15</v>
      </c>
      <c r="C16" t="s">
        <v>16</v>
      </c>
      <c r="D16" t="s">
        <v>17</v>
      </c>
      <c r="E16" t="s">
        <v>39</v>
      </c>
      <c r="F16" t="s">
        <v>7</v>
      </c>
    </row>
    <row r="17" spans="1:6">
      <c r="A17" t="s">
        <v>34</v>
      </c>
      <c r="B17" t="s">
        <v>15</v>
      </c>
      <c r="C17" t="s">
        <v>24</v>
      </c>
      <c r="D17" t="s">
        <v>21</v>
      </c>
      <c r="E17" t="s">
        <v>40</v>
      </c>
      <c r="F17" t="s">
        <v>6</v>
      </c>
    </row>
    <row r="18" spans="1:6">
      <c r="A18" t="s">
        <v>36</v>
      </c>
      <c r="B18" t="s">
        <v>15</v>
      </c>
      <c r="C18" t="s">
        <v>16</v>
      </c>
      <c r="D18" t="s">
        <v>17</v>
      </c>
      <c r="E18" t="s">
        <v>41</v>
      </c>
      <c r="F18" t="s">
        <v>5</v>
      </c>
    </row>
    <row r="19" spans="1:6" hidden="1">
      <c r="A19" t="s">
        <v>52</v>
      </c>
      <c r="B19" t="s">
        <v>15</v>
      </c>
      <c r="C19" t="s">
        <v>16</v>
      </c>
      <c r="D19" t="s">
        <v>17</v>
      </c>
      <c r="E19" t="s">
        <v>54</v>
      </c>
      <c r="F19" t="s">
        <v>45</v>
      </c>
    </row>
    <row r="20" spans="1:6">
      <c r="A20" t="s">
        <v>38</v>
      </c>
      <c r="B20" t="s">
        <v>15</v>
      </c>
      <c r="C20" t="s">
        <v>16</v>
      </c>
      <c r="D20" t="s">
        <v>17</v>
      </c>
      <c r="E20" t="s">
        <v>42</v>
      </c>
      <c r="F20" t="s">
        <v>5</v>
      </c>
    </row>
  </sheetData>
  <autoFilter ref="A1:F20" xr:uid="{00000000-0001-0000-0000-000000000000}">
    <filterColumn colId="5">
      <filters>
        <filter val="1 - Significant Customer Harm"/>
        <filter val="2 - Significant Customer Experience Issue"/>
        <filter val="3 - Significant Process Issue"/>
        <filter val="4 - Internal Issue"/>
      </filters>
    </filterColumn>
  </autoFilter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 Bester</cp:lastModifiedBy>
  <cp:revision/>
  <dcterms:created xsi:type="dcterms:W3CDTF">2026-05-24T13:52:22Z</dcterms:created>
  <dcterms:modified xsi:type="dcterms:W3CDTF">2026-05-24T13:55:27Z</dcterms:modified>
  <cp:category/>
  <cp:contentStatus/>
</cp:coreProperties>
</file>